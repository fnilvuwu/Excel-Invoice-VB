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nri\Downloads\"/>
    </mc:Choice>
  </mc:AlternateContent>
  <xr:revisionPtr revIDLastSave="0" documentId="13_ncr:1_{CAB837E1-9F2A-4FCC-92A4-99E94834B9CF}" xr6:coauthVersionLast="47" xr6:coauthVersionMax="47" xr10:uidLastSave="{00000000-0000-0000-0000-000000000000}"/>
  <bookViews>
    <workbookView xWindow="-120" yWindow="-120" windowWidth="29040" windowHeight="15720" xr2:uid="{3D4C9D32-C39F-4AE1-9B6A-BC25B26D9843}"/>
  </bookViews>
  <sheets>
    <sheet name="Sheet1" sheetId="1" r:id="rId1"/>
    <sheet name="Customer" sheetId="2" r:id="rId2"/>
  </sheets>
  <functionGroups builtInGroupCount="19"/>
  <externalReferences>
    <externalReference r:id="rId3"/>
  </externalReferences>
  <definedNames>
    <definedName name="JudulKolom1">[1]!Faktur[[#Headers],[DESKRIPSI]]</definedName>
    <definedName name="_xlnm.Print_Area" localSheetId="0">Sheet1!$B$1:$E$31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" l="1"/>
  <c r="B11" i="1"/>
  <c r="B10" i="1"/>
  <c r="B9" i="1"/>
  <c r="E14" i="1"/>
  <c r="E15" i="1"/>
  <c r="E16" i="1"/>
  <c r="E17" i="1"/>
  <c r="E18" i="1"/>
  <c r="E19" i="1"/>
  <c r="E20" i="1"/>
  <c r="E21" i="1"/>
  <c r="E24" i="1" s="1"/>
  <c r="E22" i="1"/>
  <c r="E23" i="1"/>
  <c r="E26" i="1" l="1"/>
  <c r="E28" i="1" s="1"/>
  <c r="E3" i="1"/>
  <c r="E6" i="1" s="1"/>
</calcChain>
</file>

<file path=xl/sharedStrings.xml><?xml version="1.0" encoding="utf-8"?>
<sst xmlns="http://schemas.openxmlformats.org/spreadsheetml/2006/main" count="36" uniqueCount="35">
  <si>
    <t>PT MAJU JAYA BERSAMA</t>
  </si>
  <si>
    <t>INVOICE</t>
  </si>
  <si>
    <t>Gedung Merah Putih Lt. 10</t>
  </si>
  <si>
    <t>TANGGAL</t>
  </si>
  <si>
    <t>Jl. Laksamana Sukardi No. 5 Pluit Jakarta Utara</t>
  </si>
  <si>
    <t>No. INVOICE</t>
  </si>
  <si>
    <t>Telp. 021 6519090</t>
  </si>
  <si>
    <t>TERMIN</t>
  </si>
  <si>
    <t>DUE DATE</t>
  </si>
  <si>
    <t>TAGIHAN KEPADA:</t>
  </si>
  <si>
    <t>Rudi R</t>
  </si>
  <si>
    <t>PT Sakti Mandraguna</t>
  </si>
  <si>
    <t>Jl. Imam Bonjol II No. 7</t>
  </si>
  <si>
    <t>Kediri, JATIM 64510</t>
  </si>
  <si>
    <t>DESKRIPSI</t>
  </si>
  <si>
    <t>JML</t>
  </si>
  <si>
    <t>HARGA SATUAN</t>
  </si>
  <si>
    <t>SUB TOTAL</t>
  </si>
  <si>
    <t>SUBTOTAL</t>
  </si>
  <si>
    <t>Pembayaran ditujukan kepada:</t>
  </si>
  <si>
    <t>TARIF PAJAK</t>
  </si>
  <si>
    <t>Bank: Mandiri Cabang Pluit Jakarta Utara</t>
  </si>
  <si>
    <t>PAJAK PENJUALAN</t>
  </si>
  <si>
    <t>Atas Nama: PT MAJU JAYA BERSAMA</t>
  </si>
  <si>
    <t>LAINNYA</t>
  </si>
  <si>
    <t>No Rekening: 83492039183</t>
  </si>
  <si>
    <t>TOTAL</t>
  </si>
  <si>
    <t xml:space="preserve">TERIMA KASIH ATAS KERJA SAMA ANDA! </t>
  </si>
  <si>
    <t>Nama</t>
  </si>
  <si>
    <t>Nama Perusahaan</t>
  </si>
  <si>
    <t>Alamat</t>
  </si>
  <si>
    <t>Kota, Provinsi Kode Pos</t>
  </si>
  <si>
    <t>Telepon</t>
  </si>
  <si>
    <t>iPhone 15 Pro</t>
  </si>
  <si>
    <t>MacBook Pro 15inch 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</si>
</sst>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421]dd\ mmmm\ yyyy;@"/>
    <numFmt numFmtId="165" formatCode="General\ &quot;hari&quot;"/>
    <numFmt numFmtId="166" formatCode="[&lt;=9999999]###\-####;\(###\)\ ###\-####"/>
    <numFmt numFmtId="167" formatCode="_-* #,##0_-;\-* #,##0_-;_-* &quot;-&quot;??_-;_-@_-"/>
  </numFmts>
  <fonts count="8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8"/>
      <color theme="2" tint="-0.749992370372631"/>
      <name val="Arial"/>
      <family val="2"/>
    </font>
    <font>
      <sz val="28"/>
      <color theme="2" tint="-0.749992370372631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>
      <alignment horizontal="left" vertical="center" wrapText="1"/>
    </xf>
    <xf numFmtId="166" fontId="6" fillId="0" borderId="0" applyFont="0" applyFill="0" applyBorder="0">
      <alignment horizontal="left" vertical="top"/>
    </xf>
  </cellStyleXfs>
  <cellXfs count="27">
    <xf numFmtId="0" fontId="0" fillId="0" borderId="0" xfId="0"/>
    <xf numFmtId="0" fontId="2" fillId="0" borderId="0" xfId="0" applyFont="1"/>
    <xf numFmtId="164" fontId="2" fillId="0" borderId="0" xfId="0" applyNumberFormat="1" applyFont="1"/>
    <xf numFmtId="165" fontId="2" fillId="0" borderId="0" xfId="0" applyNumberFormat="1" applyFont="1"/>
    <xf numFmtId="0" fontId="6" fillId="0" borderId="0" xfId="3">
      <alignment horizontal="left" vertical="center" wrapText="1"/>
    </xf>
    <xf numFmtId="166" fontId="0" fillId="0" borderId="0" xfId="4" applyFo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right"/>
    </xf>
    <xf numFmtId="9" fontId="2" fillId="0" borderId="0" xfId="2" applyFont="1"/>
    <xf numFmtId="167" fontId="2" fillId="0" borderId="0" xfId="1" applyNumberFormat="1" applyFont="1"/>
    <xf numFmtId="0" fontId="3" fillId="0" borderId="0" xfId="0" applyFont="1" applyAlignment="1">
      <alignment horizontal="right"/>
    </xf>
    <xf numFmtId="167" fontId="3" fillId="0" borderId="0" xfId="1" applyNumberFormat="1" applyFont="1"/>
    <xf numFmtId="0" fontId="4" fillId="2" borderId="0" xfId="0" applyFont="1" applyFill="1"/>
    <xf numFmtId="0" fontId="2" fillId="2" borderId="0" xfId="0" applyFont="1" applyFill="1"/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/>
    <xf numFmtId="0" fontId="2" fillId="0" borderId="1" xfId="0" applyFont="1" applyBorder="1"/>
    <xf numFmtId="167" fontId="2" fillId="0" borderId="1" xfId="1" applyNumberFormat="1" applyFont="1" applyBorder="1"/>
    <xf numFmtId="167" fontId="2" fillId="0" borderId="6" xfId="1" applyNumberFormat="1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8" xfId="0" applyFont="1" applyBorder="1" applyAlignment="1">
      <alignment horizontal="right"/>
    </xf>
    <xf numFmtId="167" fontId="2" fillId="0" borderId="9" xfId="1" applyNumberFormat="1" applyFont="1" applyBorder="1"/>
    <xf numFmtId="0" fontId="5" fillId="2" borderId="0" xfId="0" applyFont="1" applyFill="1" applyAlignment="1">
      <alignment horizontal="right"/>
    </xf>
    <xf numFmtId="0" fontId="2" fillId="0" borderId="0" xfId="0" applyFont="1" applyAlignment="1">
      <alignment horizontal="center"/>
    </xf>
  </cellXfs>
  <cellStyles count="5">
    <cellStyle name="Comma" xfId="1" builtinId="3"/>
    <cellStyle name="Normal" xfId="0" builtinId="0"/>
    <cellStyle name="Normal 2" xfId="3" xr:uid="{42507543-C112-4762-9659-7046D0DE8FDB}"/>
    <cellStyle name="Percent" xfId="2" builtinId="5"/>
    <cellStyle name="Telepon" xfId="4" xr:uid="{B880A959-DB21-46B0-A523-E4E5AFDE383A}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border diagonalUp="0" diagonalDown="0">
        <left style="thin">
          <color indexed="64"/>
        </left>
        <right/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1</xdr:row>
          <xdr:rowOff>57150</xdr:rowOff>
        </xdr:from>
        <xdr:to>
          <xdr:col>7</xdr:col>
          <xdr:colOff>180975</xdr:colOff>
          <xdr:row>3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Simpan ke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57150</xdr:rowOff>
        </xdr:from>
        <xdr:to>
          <xdr:col>7</xdr:col>
          <xdr:colOff>171450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Buat Invoice Baru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Projects\Youtube\Tutorial%20Membuat%20Invoice%20Auto%20Simpan%20ke%20PDF.xlsm" TargetMode="External"/><Relationship Id="rId1" Type="http://schemas.openxmlformats.org/officeDocument/2006/relationships/externalLinkPath" Target="file:///D:\Projects\Youtube\Tutorial%20Membuat%20Invoice%20Auto%20Simpan%20ke%20PD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voice"/>
      <sheetName val="Customer"/>
      <sheetName val="Tutorial Membuat Invoice Auto S"/>
    </sheetNames>
    <sheetDataSet>
      <sheetData sheetId="0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146599-4038-42DD-97F8-CD87774624F4}" name="Table2" displayName="Table2" ref="B13:E24" totalsRowCount="1" headerRowDxfId="13" dataDxfId="11" totalsRowDxfId="9" headerRowBorderDxfId="12" tableBorderDxfId="10" totalsRowBorderDxfId="8">
  <autoFilter ref="B13:E23" xr:uid="{7A146599-4038-42DD-97F8-CD87774624F4}">
    <filterColumn colId="0" hiddenButton="1"/>
    <filterColumn colId="1" hiddenButton="1"/>
    <filterColumn colId="2" hiddenButton="1"/>
    <filterColumn colId="3" hiddenButton="1"/>
  </autoFilter>
  <tableColumns count="4">
    <tableColumn id="1" xr3:uid="{7CAF2F9A-D9E0-4D54-B446-297EC9E5B1DF}" name="DESKRIPSI" dataDxfId="7" totalsRowDxfId="6"/>
    <tableColumn id="2" xr3:uid="{B7875C60-1278-480C-9879-70F3E7923282}" name="JML" dataDxfId="5" totalsRowDxfId="4"/>
    <tableColumn id="3" xr3:uid="{C07EFD50-03C5-465D-BA98-34DDA0BC3C5C}" name="HARGA SATUAN" totalsRowLabel="SUBTOTAL" dataDxfId="3" totalsRowDxfId="2" dataCellStyle="Comma"/>
    <tableColumn id="4" xr3:uid="{D468A779-2A67-48D9-8895-DCB04527A979}" name="SUB TOTAL" totalsRowFunction="sum" dataDxfId="1" totalsRowDxfId="0" dataCellStyle="Comma" totalsRowCellStyle="Comma">
      <calculatedColumnFormula>Table2[[#This Row],[JML]]*Table2[[#This Row],[HARGA SATUAN]]</calculatedColumnFormula>
    </tableColumn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02B785-9061-489E-BD8B-24112411F294}" name="tabCustomer" displayName="tabCustomer" ref="A1:E2" totalsRowShown="0">
  <autoFilter ref="A1:E2" xr:uid="{261C637A-7F1C-4804-AC9E-736E1F315EB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8DE7C53-FB02-4CCC-B5F1-C93C5CF7DCF3}" name="Nama"/>
    <tableColumn id="2" xr3:uid="{10B84FD6-356E-497F-B0BA-FCE19A6D4358}" name="Nama Perusahaan"/>
    <tableColumn id="3" xr3:uid="{C6F3529E-FF7E-4324-A5A8-0F54279F6B24}" name="Alamat"/>
    <tableColumn id="4" xr3:uid="{E3DBE448-BBEB-47E1-8368-7329F0C51DB7}" name="Kota, Provinsi Kode Pos"/>
    <tableColumn id="5" xr3:uid="{EDDB6AAE-1854-480A-B174-9F6791E446C4}" name="Telepon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C897F-56C3-4287-B0FE-3145AC82B84C}">
  <sheetPr codeName="Sheet1">
    <pageSetUpPr fitToPage="1"/>
  </sheetPr>
  <dimension ref="B1:E31"/>
  <sheetViews>
    <sheetView showGridLines="0" tabSelected="1" zoomScale="115" zoomScaleNormal="115" workbookViewId="0">
      <selection activeCell="I13" sqref="I13"/>
    </sheetView>
  </sheetViews>
  <sheetFormatPr defaultRowHeight="14.25" x14ac:dyDescent="0.2"/>
  <cols>
    <col min="1" max="1" width="2.140625" style="1" customWidth="1"/>
    <col min="2" max="2" width="46" style="1" bestFit="1" customWidth="1"/>
    <col min="3" max="3" width="9.42578125" style="1" bestFit="1" customWidth="1"/>
    <col min="4" max="4" width="20.42578125" style="1" bestFit="1" customWidth="1"/>
    <col min="5" max="5" width="18.85546875" style="1" bestFit="1" customWidth="1"/>
    <col min="6" max="16384" width="9.140625" style="1"/>
  </cols>
  <sheetData>
    <row r="1" spans="2:5" ht="34.5" x14ac:dyDescent="0.45">
      <c r="B1" s="12" t="s">
        <v>0</v>
      </c>
      <c r="C1" s="25" t="s">
        <v>1</v>
      </c>
      <c r="D1" s="25"/>
      <c r="E1" s="25"/>
    </row>
    <row r="3" spans="2:5" x14ac:dyDescent="0.2">
      <c r="B3" s="1" t="s">
        <v>2</v>
      </c>
      <c r="D3" s="1" t="s">
        <v>3</v>
      </c>
      <c r="E3" s="2">
        <f ca="1">TODAY()</f>
        <v>45257</v>
      </c>
    </row>
    <row r="4" spans="2:5" x14ac:dyDescent="0.2">
      <c r="B4" s="1" t="s">
        <v>4</v>
      </c>
      <c r="D4" s="1" t="s">
        <v>5</v>
      </c>
      <c r="E4" s="1">
        <v>102</v>
      </c>
    </row>
    <row r="5" spans="2:5" x14ac:dyDescent="0.2">
      <c r="B5" s="1" t="s">
        <v>6</v>
      </c>
      <c r="D5" s="1" t="s">
        <v>7</v>
      </c>
      <c r="E5" s="3">
        <v>7</v>
      </c>
    </row>
    <row r="6" spans="2:5" x14ac:dyDescent="0.2">
      <c r="D6" s="1" t="s">
        <v>8</v>
      </c>
      <c r="E6" s="2">
        <f ca="1">E3+E5</f>
        <v>45264</v>
      </c>
    </row>
    <row r="7" spans="2:5" x14ac:dyDescent="0.2">
      <c r="B7" s="13" t="s">
        <v>9</v>
      </c>
    </row>
    <row r="8" spans="2:5" x14ac:dyDescent="0.2">
      <c r="B8" s="1" t="s">
        <v>10</v>
      </c>
    </row>
    <row r="9" spans="2:5" x14ac:dyDescent="0.2">
      <c r="B9" s="1" t="str">
        <f>_xlfn.IFNA(VLOOKUP($B$8,tabCustomer[],2,FALSE),"")</f>
        <v>PT Sakti Mandraguna</v>
      </c>
    </row>
    <row r="10" spans="2:5" x14ac:dyDescent="0.2">
      <c r="B10" s="1" t="str">
        <f>_xlfn.IFNA(VLOOKUP($B$8,tabCustomer[],3,FALSE),"")</f>
        <v>Jl. Imam Bonjol II No. 7</v>
      </c>
    </row>
    <row r="11" spans="2:5" x14ac:dyDescent="0.2">
      <c r="B11" s="1" t="str">
        <f>_xlfn.IFNA(VLOOKUP($B$8,tabCustomer[],4,FALSE),"")</f>
        <v>Kediri, JATIM 64510</v>
      </c>
    </row>
    <row r="12" spans="2:5" ht="28.5" customHeight="1" x14ac:dyDescent="0.2">
      <c r="B12" s="6">
        <f>_xlfn.IFNA(VLOOKUP($B$8,tabCustomer[],5,FALSE),"")</f>
        <v>8128129900</v>
      </c>
    </row>
    <row r="13" spans="2:5" x14ac:dyDescent="0.2">
      <c r="B13" s="14" t="s">
        <v>14</v>
      </c>
      <c r="C13" s="15" t="s">
        <v>15</v>
      </c>
      <c r="D13" s="15" t="s">
        <v>16</v>
      </c>
      <c r="E13" s="16" t="s">
        <v>17</v>
      </c>
    </row>
    <row r="14" spans="2:5" x14ac:dyDescent="0.2">
      <c r="B14" s="17" t="s">
        <v>33</v>
      </c>
      <c r="C14" s="18">
        <v>6</v>
      </c>
      <c r="D14" s="19">
        <v>19000000</v>
      </c>
      <c r="E14" s="20">
        <f>Table2[[#This Row],[JML]]*Table2[[#This Row],[HARGA SATUAN]]</f>
        <v>114000000</v>
      </c>
    </row>
    <row r="15" spans="2:5" x14ac:dyDescent="0.2">
      <c r="B15" s="17" t="s">
        <v>34</v>
      </c>
      <c r="C15" s="18">
        <v>2</v>
      </c>
      <c r="D15" s="19">
        <v>28000000</v>
      </c>
      <c r="E15" s="20">
        <f>Table2[[#This Row],[JML]]*Table2[[#This Row],[HARGA SATUAN]]</f>
        <v>56000000</v>
      </c>
    </row>
    <row r="16" spans="2:5" x14ac:dyDescent="0.2">
      <c r="B16" s="17"/>
      <c r="C16" s="18"/>
      <c r="D16" s="19"/>
      <c r="E16" s="20">
        <f>Table2[[#This Row],[JML]]*Table2[[#This Row],[HARGA SATUAN]]</f>
        <v>0</v>
      </c>
    </row>
    <row r="17" spans="2:5" x14ac:dyDescent="0.2">
      <c r="B17" s="17"/>
      <c r="C17" s="18"/>
      <c r="D17" s="19"/>
      <c r="E17" s="20">
        <f>Table2[[#This Row],[JML]]*Table2[[#This Row],[HARGA SATUAN]]</f>
        <v>0</v>
      </c>
    </row>
    <row r="18" spans="2:5" x14ac:dyDescent="0.2">
      <c r="B18" s="17"/>
      <c r="C18" s="18"/>
      <c r="D18" s="19"/>
      <c r="E18" s="20">
        <f>Table2[[#This Row],[JML]]*Table2[[#This Row],[HARGA SATUAN]]</f>
        <v>0</v>
      </c>
    </row>
    <row r="19" spans="2:5" x14ac:dyDescent="0.2">
      <c r="B19" s="17"/>
      <c r="C19" s="18"/>
      <c r="D19" s="19"/>
      <c r="E19" s="20">
        <f>Table2[[#This Row],[JML]]*Table2[[#This Row],[HARGA SATUAN]]</f>
        <v>0</v>
      </c>
    </row>
    <row r="20" spans="2:5" x14ac:dyDescent="0.2">
      <c r="B20" s="17"/>
      <c r="C20" s="18"/>
      <c r="D20" s="19"/>
      <c r="E20" s="20">
        <f>Table2[[#This Row],[JML]]*Table2[[#This Row],[HARGA SATUAN]]</f>
        <v>0</v>
      </c>
    </row>
    <row r="21" spans="2:5" x14ac:dyDescent="0.2">
      <c r="B21" s="17"/>
      <c r="C21" s="18"/>
      <c r="D21" s="19"/>
      <c r="E21" s="20">
        <f>Table2[[#This Row],[JML]]*Table2[[#This Row],[HARGA SATUAN]]</f>
        <v>0</v>
      </c>
    </row>
    <row r="22" spans="2:5" x14ac:dyDescent="0.2">
      <c r="B22" s="17"/>
      <c r="C22" s="18"/>
      <c r="D22" s="19"/>
      <c r="E22" s="20">
        <f>Table2[[#This Row],[JML]]*Table2[[#This Row],[HARGA SATUAN]]</f>
        <v>0</v>
      </c>
    </row>
    <row r="23" spans="2:5" x14ac:dyDescent="0.2">
      <c r="B23" s="17"/>
      <c r="C23" s="18"/>
      <c r="D23" s="19"/>
      <c r="E23" s="20">
        <f>Table2[[#This Row],[JML]]*Table2[[#This Row],[HARGA SATUAN]]</f>
        <v>0</v>
      </c>
    </row>
    <row r="24" spans="2:5" x14ac:dyDescent="0.2">
      <c r="B24" s="21"/>
      <c r="C24" s="22"/>
      <c r="D24" s="23" t="s">
        <v>18</v>
      </c>
      <c r="E24" s="24">
        <f>SUBTOTAL(109,Table2[SUB TOTAL])</f>
        <v>170000000</v>
      </c>
    </row>
    <row r="25" spans="2:5" x14ac:dyDescent="0.2">
      <c r="B25" s="1" t="s">
        <v>19</v>
      </c>
      <c r="D25" s="7" t="s">
        <v>20</v>
      </c>
      <c r="E25" s="8">
        <v>0.11</v>
      </c>
    </row>
    <row r="26" spans="2:5" x14ac:dyDescent="0.2">
      <c r="B26" s="1" t="s">
        <v>21</v>
      </c>
      <c r="D26" s="7" t="s">
        <v>22</v>
      </c>
      <c r="E26" s="9">
        <f>Table2[[#Totals],[SUB TOTAL]]*E25</f>
        <v>18700000</v>
      </c>
    </row>
    <row r="27" spans="2:5" x14ac:dyDescent="0.2">
      <c r="B27" s="1" t="s">
        <v>23</v>
      </c>
      <c r="D27" s="7" t="s">
        <v>24</v>
      </c>
      <c r="E27" s="9"/>
    </row>
    <row r="28" spans="2:5" ht="15" x14ac:dyDescent="0.25">
      <c r="B28" s="1" t="s">
        <v>25</v>
      </c>
      <c r="D28" s="10" t="s">
        <v>26</v>
      </c>
      <c r="E28" s="11">
        <f>Table2[[#Totals],[SUB TOTAL]]+E26+E27</f>
        <v>188700000</v>
      </c>
    </row>
    <row r="31" spans="2:5" x14ac:dyDescent="0.2">
      <c r="B31" s="26" t="s">
        <v>27</v>
      </c>
      <c r="C31" s="26"/>
      <c r="D31" s="26"/>
      <c r="E31" s="26"/>
    </row>
  </sheetData>
  <mergeCells count="2">
    <mergeCell ref="C1:E1"/>
    <mergeCell ref="B31:E31"/>
  </mergeCells>
  <pageMargins left="0.7" right="0.7" top="0.75" bottom="0.75" header="0.3" footer="0.3"/>
  <pageSetup paperSize="9" scale="9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SaveActiveSheetAsPDF">
                <anchor moveWithCells="1" sizeWithCells="1">
                  <from>
                    <xdr:col>5</xdr:col>
                    <xdr:colOff>180975</xdr:colOff>
                    <xdr:row>1</xdr:row>
                    <xdr:rowOff>57150</xdr:rowOff>
                  </from>
                  <to>
                    <xdr:col>7</xdr:col>
                    <xdr:colOff>180975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CreateNewInvoice">
                <anchor moveWithCells="1" sizeWithCells="1">
                  <from>
                    <xdr:col>5</xdr:col>
                    <xdr:colOff>171450</xdr:colOff>
                    <xdr:row>4</xdr:row>
                    <xdr:rowOff>57150</xdr:rowOff>
                  </from>
                  <to>
                    <xdr:col>7</xdr:col>
                    <xdr:colOff>171450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D945B6-138D-43C6-A094-E03F58A30612}">
          <x14:formula1>
            <xm:f>Customer!$A$2:$A$20</xm:f>
          </x14:formula1>
          <xm:sqref>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C03C2-52C4-40D6-B40F-1C2577D19349}">
  <sheetPr codeName="Sheet2"/>
  <dimension ref="A1:E2"/>
  <sheetViews>
    <sheetView workbookViewId="0">
      <selection activeCell="B37" sqref="B37"/>
    </sheetView>
  </sheetViews>
  <sheetFormatPr defaultRowHeight="15" x14ac:dyDescent="0.25"/>
  <cols>
    <col min="1" max="1" width="13.5703125" style="4" customWidth="1"/>
    <col min="2" max="2" width="20.5703125" style="4" customWidth="1"/>
    <col min="3" max="3" width="23.28515625" style="4" customWidth="1"/>
    <col min="4" max="4" width="27.7109375" style="4" customWidth="1"/>
    <col min="5" max="5" width="18.28515625" style="4" customWidth="1"/>
    <col min="6" max="16384" width="9.140625" style="4"/>
  </cols>
  <sheetData>
    <row r="1" spans="1:5" x14ac:dyDescent="0.25">
      <c r="A1" s="4" t="s">
        <v>28</v>
      </c>
      <c r="B1" s="4" t="s">
        <v>29</v>
      </c>
      <c r="C1" s="4" t="s">
        <v>30</v>
      </c>
      <c r="D1" s="4" t="s">
        <v>31</v>
      </c>
      <c r="E1" s="5" t="s">
        <v>32</v>
      </c>
    </row>
    <row r="2" spans="1:5" x14ac:dyDescent="0.25">
      <c r="A2" s="4" t="s">
        <v>10</v>
      </c>
      <c r="B2" s="4" t="s">
        <v>11</v>
      </c>
      <c r="C2" s="4" t="s">
        <v>12</v>
      </c>
      <c r="D2" s="4" t="s">
        <v>13</v>
      </c>
      <c r="E2" s="4">
        <v>8128129900</v>
      </c>
    </row>
  </sheetData>
  <dataValidations count="5">
    <dataValidation allowBlank="1" showInputMessage="1" showErrorMessage="1" prompt="Masukkan Nama pelanggan dalam sel ini" sqref="A1" xr:uid="{565C2C96-4E4A-4452-BBB2-748086270304}"/>
    <dataValidation allowBlank="1" showInputMessage="1" showErrorMessage="1" prompt="Masukkan Nama Perusahaan pelanggan dalam sel ini" sqref="B1" xr:uid="{31547537-B7B0-4A0F-A6D9-D731DAC21D9A}"/>
    <dataValidation allowBlank="1" showInputMessage="1" showErrorMessage="1" prompt="Masukkan Alamat pelanggan dalam sel ini" sqref="C1" xr:uid="{6ECCFEB9-E174-489E-82DA-65177DD3C9B0}"/>
    <dataValidation allowBlank="1" showInputMessage="1" showErrorMessage="1" prompt="Masukkan Kota, Provinsi, dan Kode Pos pelanggan dalam sel ini" sqref="D1" xr:uid="{96CC718F-0444-4D47-A841-34A84E72BDEA}"/>
    <dataValidation allowBlank="1" showInputMessage="1" showErrorMessage="1" prompt="Masukkan nomor Telepon pelanggan dalam sel ini" sqref="E1" xr:uid="{C70F9AB3-6403-481B-9BB9-0E4B18D3480A}"/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Customer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 Kistono</dc:creator>
  <cp:lastModifiedBy>Henri Kistono</cp:lastModifiedBy>
  <cp:lastPrinted>2023-11-27T07:57:35Z</cp:lastPrinted>
  <dcterms:created xsi:type="dcterms:W3CDTF">2023-11-18T03:48:14Z</dcterms:created>
  <dcterms:modified xsi:type="dcterms:W3CDTF">2023-11-27T07:57:58Z</dcterms:modified>
</cp:coreProperties>
</file>