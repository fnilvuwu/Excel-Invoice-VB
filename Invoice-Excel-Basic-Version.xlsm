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mat\Downloads\"/>
    </mc:Choice>
  </mc:AlternateContent>
  <xr:revisionPtr revIDLastSave="0" documentId="13_ncr:1_{43A15386-EC87-4D03-9FE1-59F4635CC0C3}" xr6:coauthVersionLast="47" xr6:coauthVersionMax="47" xr10:uidLastSave="{00000000-0000-0000-0000-000000000000}"/>
  <bookViews>
    <workbookView xWindow="-108" yWindow="-108" windowWidth="23256" windowHeight="12456" xr2:uid="{00000000-000D-0000-FFFF-FFFF00000000}"/>
  </bookViews>
  <sheets>
    <sheet name="DATAINVOICE" sheetId="1" r:id="rId1"/>
    <sheet name="DATABARANG" sheetId="2" r:id="rId2"/>
    <sheet name="CARIBARANG" sheetId="4" r:id="rId3"/>
    <sheet name="INVOICE" sheetId="3" r:id="rId4"/>
  </sheets>
  <definedNames>
    <definedName name="_xlnm._FilterDatabase" localSheetId="1" hidden="1">DATABARANG!$A$5:$E$8</definedName>
    <definedName name="_xlnm.Criteria" localSheetId="2">CARIBARANG!$G$5:$G$6</definedName>
    <definedName name="_xlnm.Extract" localSheetId="2">CARIBARANG!$A$5:$E$5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10" i="3" l="1"/>
  <c r="A7" i="2"/>
  <c r="A8" i="2"/>
  <c r="A6" i="2"/>
  <c r="F26" i="3"/>
  <c r="E34" i="3"/>
  <c r="F27" i="3" l="1"/>
  <c r="F28" i="3" s="1"/>
</calcChain>
</file>

<file path=xl/sharedStrings.xml><?xml version="1.0" encoding="utf-8"?>
<sst xmlns="http://schemas.openxmlformats.org/spreadsheetml/2006/main" count="56" uniqueCount="33">
  <si>
    <t>Folder</t>
  </si>
  <si>
    <t>No</t>
  </si>
  <si>
    <t>Nomor Invoice</t>
  </si>
  <si>
    <t>Dikirim ke</t>
  </si>
  <si>
    <t>Alamat</t>
  </si>
  <si>
    <t>Tanggal</t>
  </si>
  <si>
    <t>File Invoice</t>
  </si>
  <si>
    <t>Barcode</t>
  </si>
  <si>
    <t>Nama Barang</t>
  </si>
  <si>
    <t>Satuan</t>
  </si>
  <si>
    <t>Harga Satuan</t>
  </si>
  <si>
    <t>Kepada:</t>
  </si>
  <si>
    <t>INVOICE</t>
  </si>
  <si>
    <t>Tanggal:</t>
  </si>
  <si>
    <t>Nomor Invoice:</t>
  </si>
  <si>
    <t>Qty</t>
  </si>
  <si>
    <t>Total</t>
  </si>
  <si>
    <t>Subtotal :</t>
  </si>
  <si>
    <t>Total :</t>
  </si>
  <si>
    <t>Pajak (11%) :</t>
  </si>
  <si>
    <t>BR-10001</t>
  </si>
  <si>
    <t>Pcs</t>
  </si>
  <si>
    <t>BR-10002</t>
  </si>
  <si>
    <t>BR-10004</t>
  </si>
  <si>
    <t>Barang 1</t>
  </si>
  <si>
    <t>Barang 2</t>
  </si>
  <si>
    <t>Barang 3</t>
  </si>
  <si>
    <t>**</t>
  </si>
  <si>
    <t>No. Urut</t>
  </si>
  <si>
    <t>Len</t>
  </si>
  <si>
    <t>INV-1000016</t>
  </si>
  <si>
    <t>Tess</t>
  </si>
  <si>
    <t>Hello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</si>
</sst>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4" formatCode="_(&quot;$&quot;* #,##0.00_);_(&quot;$&quot;* \(#,##0.00\);_(&quot;$&quot;* &quot;-&quot;??_);_(@_)"/>
    <numFmt numFmtId="164" formatCode="_-[$Rp-421]* #,##0.00_-;\-[$Rp-421]* #,##0.00_-;_-[$Rp-421]* &quot;-&quot;??_-;_-@_-"/>
  </numFmts>
  <fonts count="9" x14ac:knownFonts="1">
    <font>
      <sz val="10"/>
      <color rgb="FF000000"/>
      <name val="Arial"/>
      <scheme val="minor"/>
    </font>
    <font>
      <sz val="10"/>
      <color theme="1"/>
      <name val="Arial"/>
      <scheme val="minor"/>
    </font>
    <font>
      <sz val="10"/>
      <color rgb="FF000000"/>
      <name val="Arial"/>
      <scheme val="minor"/>
    </font>
    <font>
      <b/>
      <sz val="10"/>
      <color rgb="FF000000"/>
      <name val="Arial"/>
      <family val="2"/>
      <scheme val="minor"/>
    </font>
    <font>
      <b/>
      <sz val="28"/>
      <color rgb="FF000000"/>
      <name val="Arial"/>
      <family val="2"/>
      <scheme val="minor"/>
    </font>
    <font>
      <sz val="28"/>
      <color rgb="FF000000"/>
      <name val="Arial"/>
      <family val="2"/>
      <scheme val="minor"/>
    </font>
    <font>
      <sz val="10"/>
      <color rgb="FF000000"/>
      <name val="Arial"/>
      <family val="2"/>
      <scheme val="minor"/>
    </font>
    <font>
      <sz val="8"/>
      <name val="Arial"/>
      <family val="2"/>
      <scheme val="minor"/>
    </font>
    <font>
      <sz val="10"/>
      <color rgb="FF00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14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theme="0" tint="-0.499984740745262"/>
      </top>
      <bottom style="thin">
        <color theme="0" tint="-0.499984740745262"/>
      </bottom>
      <diagonal/>
    </border>
    <border>
      <left style="medium">
        <color theme="0" tint="-0.499984740745262"/>
      </left>
      <right style="medium">
        <color theme="0" tint="-0.499984740745262"/>
      </right>
      <top style="medium">
        <color theme="0" tint="-0.499984740745262"/>
      </top>
      <bottom/>
      <diagonal/>
    </border>
    <border>
      <left style="medium">
        <color theme="0" tint="-0.499984740745262"/>
      </left>
      <right style="medium">
        <color theme="0" tint="-0.499984740745262"/>
      </right>
      <top/>
      <bottom style="medium">
        <color theme="0" tint="-0.49998474074526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2" fillId="0" borderId="0" applyFont="0" applyFill="0" applyBorder="0" applyAlignment="0" applyProtection="0"/>
  </cellStyleXfs>
  <cellXfs count="31">
    <xf numFmtId="0" fontId="0" fillId="0" borderId="0" xfId="0" applyFont="1" applyAlignment="1"/>
    <xf numFmtId="0" fontId="1" fillId="0" borderId="1" xfId="0" applyFont="1" applyBorder="1" applyAlignment="1"/>
    <xf numFmtId="0" fontId="1" fillId="0" borderId="1" xfId="0" applyFont="1" applyBorder="1"/>
    <xf numFmtId="0" fontId="1" fillId="0" borderId="2" xfId="0" applyFont="1" applyBorder="1" applyAlignment="1"/>
    <xf numFmtId="0" fontId="1" fillId="0" borderId="3" xfId="0" applyFont="1" applyBorder="1" applyAlignment="1"/>
    <xf numFmtId="0" fontId="1" fillId="0" borderId="4" xfId="0" applyFont="1" applyBorder="1" applyAlignment="1"/>
    <xf numFmtId="0" fontId="0" fillId="0" borderId="0" xfId="0" applyFont="1" applyAlignment="1">
      <alignment horizontal="center"/>
    </xf>
    <xf numFmtId="0" fontId="6" fillId="0" borderId="0" xfId="0" applyFont="1" applyAlignment="1"/>
    <xf numFmtId="0" fontId="0" fillId="0" borderId="0" xfId="0" applyFont="1" applyBorder="1" applyAlignment="1"/>
    <xf numFmtId="0" fontId="0" fillId="0" borderId="0" xfId="0" applyFont="1" applyBorder="1" applyAlignment="1">
      <alignment horizontal="center" vertical="top"/>
    </xf>
    <xf numFmtId="0" fontId="6" fillId="2" borderId="0" xfId="0" applyFont="1" applyFill="1" applyAlignment="1"/>
    <xf numFmtId="0" fontId="0" fillId="0" borderId="0" xfId="0" applyFont="1" applyAlignment="1">
      <alignment horizontal="center" vertical="center"/>
    </xf>
    <xf numFmtId="0" fontId="3" fillId="0" borderId="0" xfId="0" applyFont="1" applyAlignment="1">
      <alignment horizontal="left"/>
    </xf>
    <xf numFmtId="0" fontId="3" fillId="0" borderId="0" xfId="0" applyFont="1" applyAlignment="1"/>
    <xf numFmtId="0" fontId="0" fillId="0" borderId="10" xfId="0" applyFont="1" applyBorder="1" applyAlignment="1"/>
    <xf numFmtId="0" fontId="6" fillId="0" borderId="0" xfId="0" applyFont="1" applyAlignment="1">
      <alignment horizontal="right"/>
    </xf>
    <xf numFmtId="164" fontId="0" fillId="0" borderId="10" xfId="1" applyNumberFormat="1" applyFont="1" applyBorder="1" applyAlignment="1"/>
    <xf numFmtId="164" fontId="3" fillId="0" borderId="0" xfId="0" applyNumberFormat="1" applyFont="1" applyAlignment="1"/>
    <xf numFmtId="0" fontId="0" fillId="0" borderId="0" xfId="0" applyFont="1" applyBorder="1" applyAlignment="1">
      <alignment horizontal="left" vertical="top"/>
    </xf>
    <xf numFmtId="0" fontId="0" fillId="0" borderId="11" xfId="0" applyFont="1" applyBorder="1" applyAlignment="1">
      <alignment horizontal="left" vertical="top"/>
    </xf>
    <xf numFmtId="0" fontId="0" fillId="0" borderId="12" xfId="0" applyFont="1" applyBorder="1" applyAlignment="1">
      <alignment horizontal="left" vertical="top"/>
    </xf>
    <xf numFmtId="0" fontId="0" fillId="0" borderId="13" xfId="0" applyFont="1" applyBorder="1" applyAlignment="1"/>
    <xf numFmtId="0" fontId="3" fillId="0" borderId="13" xfId="0" applyFont="1" applyBorder="1" applyAlignment="1"/>
    <xf numFmtId="14" fontId="0" fillId="0" borderId="0" xfId="0" applyNumberFormat="1" applyFont="1" applyAlignment="1"/>
    <xf numFmtId="0" fontId="0" fillId="0" borderId="8" xfId="0" applyFont="1" applyBorder="1" applyAlignment="1">
      <alignment horizontal="left" vertical="top"/>
    </xf>
    <xf numFmtId="0" fontId="0" fillId="0" borderId="9" xfId="0" applyFont="1" applyBorder="1" applyAlignment="1">
      <alignment horizontal="left" vertical="top"/>
    </xf>
    <xf numFmtId="0" fontId="6" fillId="0" borderId="7" xfId="0" applyFont="1" applyBorder="1" applyAlignment="1">
      <alignment horizontal="left" vertical="top"/>
    </xf>
    <xf numFmtId="0" fontId="4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14" fontId="0" fillId="0" borderId="5" xfId="0" applyNumberFormat="1" applyFont="1" applyBorder="1" applyAlignment="1">
      <alignment horizontal="left" vertical="top"/>
    </xf>
    <xf numFmtId="0" fontId="0" fillId="0" borderId="6" xfId="0" applyFont="1" applyBorder="1" applyAlignment="1">
      <alignment horizontal="left" vertical="top"/>
    </xf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274320</xdr:colOff>
          <xdr:row>0</xdr:row>
          <xdr:rowOff>190500</xdr:rowOff>
        </xdr:from>
        <xdr:to>
          <xdr:col>2</xdr:col>
          <xdr:colOff>1173480</xdr:colOff>
          <xdr:row>2</xdr:row>
          <xdr:rowOff>137160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0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US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START APP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3</xdr:col>
      <xdr:colOff>783102</xdr:colOff>
      <xdr:row>0</xdr:row>
      <xdr:rowOff>183465</xdr:rowOff>
    </xdr:from>
    <xdr:ext cx="184731" cy="254557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3385625" y="183465"/>
          <a:ext cx="184731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en-US" sz="1100" b="1"/>
        </a:p>
      </xdr:txBody>
    </xdr:sp>
    <xdr:clientData/>
  </xdr:oneCellAnchor>
  <xdr:twoCellAnchor>
    <xdr:from>
      <xdr:col>0</xdr:col>
      <xdr:colOff>849923</xdr:colOff>
      <xdr:row>4</xdr:row>
      <xdr:rowOff>5862</xdr:rowOff>
    </xdr:from>
    <xdr:to>
      <xdr:col>6</xdr:col>
      <xdr:colOff>23446</xdr:colOff>
      <xdr:row>4</xdr:row>
      <xdr:rowOff>5862</xdr:rowOff>
    </xdr:to>
    <xdr:cxnSp macro="">
      <xdr:nvCxnSpPr>
        <xdr:cNvPr id="10" name="Straight Connector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49923" y="803031"/>
          <a:ext cx="4378569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oneCellAnchor>
    <xdr:from>
      <xdr:col>1</xdr:col>
      <xdr:colOff>5861</xdr:colOff>
      <xdr:row>0</xdr:row>
      <xdr:rowOff>0</xdr:rowOff>
    </xdr:from>
    <xdr:ext cx="779585" cy="756139"/>
    <xdr:pic>
      <xdr:nvPicPr>
        <xdr:cNvPr id="11" name="image1.png" title="Image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234461" y="0"/>
          <a:ext cx="779585" cy="756139"/>
        </a:xfrm>
        <a:prstGeom prst="rect">
          <a:avLst/>
        </a:prstGeom>
        <a:noFill/>
      </xdr:spPr>
    </xdr:pic>
    <xdr:clientData fLocksWithSheet="0"/>
  </xdr:oneCellAnchor>
  <xdr:oneCellAnchor>
    <xdr:from>
      <xdr:col>1</xdr:col>
      <xdr:colOff>785445</xdr:colOff>
      <xdr:row>0</xdr:row>
      <xdr:rowOff>187569</xdr:rowOff>
    </xdr:from>
    <xdr:ext cx="1885260" cy="254557"/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 txBox="1"/>
      </xdr:nvSpPr>
      <xdr:spPr>
        <a:xfrm>
          <a:off x="1014045" y="187569"/>
          <a:ext cx="1885260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EXCEL &amp; VBA TUTORIAL</a:t>
          </a:r>
        </a:p>
      </xdr:txBody>
    </xdr:sp>
    <xdr:clientData/>
  </xdr:oneCellAnchor>
  <xdr:oneCellAnchor>
    <xdr:from>
      <xdr:col>1</xdr:col>
      <xdr:colOff>797169</xdr:colOff>
      <xdr:row>1</xdr:row>
      <xdr:rowOff>181708</xdr:rowOff>
    </xdr:from>
    <xdr:ext cx="1337482" cy="254557"/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 txBox="1"/>
      </xdr:nvSpPr>
      <xdr:spPr>
        <a:xfrm>
          <a:off x="1025769" y="381000"/>
          <a:ext cx="1337482" cy="25455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 b="1"/>
            <a:t>Invoice Database</a:t>
          </a:r>
        </a:p>
      </xdr:txBody>
    </xdr:sp>
    <xdr:clientData/>
  </xdr:oneCellAnchor>
  <xdr:oneCellAnchor>
    <xdr:from>
      <xdr:col>0</xdr:col>
      <xdr:colOff>201705</xdr:colOff>
      <xdr:row>25</xdr:row>
      <xdr:rowOff>13000</xdr:rowOff>
    </xdr:from>
    <xdr:ext cx="2331344" cy="741229"/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 txBox="1"/>
      </xdr:nvSpPr>
      <xdr:spPr>
        <a:xfrm>
          <a:off x="201705" y="4943588"/>
          <a:ext cx="2331344" cy="74122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r>
            <a:rPr lang="en-US" sz="1100"/>
            <a:t>Pembayaran</a:t>
          </a:r>
          <a:r>
            <a:rPr lang="en-US" sz="1100" baseline="0"/>
            <a:t> : </a:t>
          </a:r>
        </a:p>
        <a:p>
          <a:r>
            <a:rPr lang="en-US" sz="1100" baseline="0"/>
            <a:t>Bank ABC</a:t>
          </a:r>
        </a:p>
        <a:p>
          <a:r>
            <a:rPr lang="en-US" sz="1100" baseline="0"/>
            <a:t>A/N	: Erwin Suhariyanto</a:t>
          </a:r>
        </a:p>
        <a:p>
          <a:r>
            <a:rPr lang="en-US" sz="1100" baseline="0"/>
            <a:t>NO. REK.	: 1234567890</a:t>
          </a:r>
          <a:endParaRPr lang="en-US" sz="1100"/>
        </a:p>
      </xdr:txBody>
    </xdr:sp>
    <xdr:clientData/>
  </xdr:oneCellAnchor>
  <xdr:twoCellAnchor>
    <xdr:from>
      <xdr:col>2</xdr:col>
      <xdr:colOff>690283</xdr:colOff>
      <xdr:row>37</xdr:row>
      <xdr:rowOff>0</xdr:rowOff>
    </xdr:from>
    <xdr:to>
      <xdr:col>5</xdr:col>
      <xdr:colOff>1308847</xdr:colOff>
      <xdr:row>37</xdr:row>
      <xdr:rowOff>0</xdr:rowOff>
    </xdr:to>
    <xdr:cxnSp macro="">
      <xdr:nvCxnSpPr>
        <xdr:cNvPr id="17" name="Straight Connector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CxnSpPr/>
      </xdr:nvCxnSpPr>
      <xdr:spPr>
        <a:xfrm flipH="1">
          <a:off x="2537012" y="7297271"/>
          <a:ext cx="3424517" cy="0"/>
        </a:xfrm>
        <a:prstGeom prst="line">
          <a:avLst/>
        </a:prstGeom>
        <a:ln w="12700"/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3:F7"/>
  <sheetViews>
    <sheetView showGridLines="0" tabSelected="1" workbookViewId="0">
      <selection activeCell="F7" sqref="F7"/>
    </sheetView>
  </sheetViews>
  <sheetFormatPr defaultColWidth="12.6640625" defaultRowHeight="15.75" customHeight="1" x14ac:dyDescent="0.25"/>
  <cols>
    <col min="1" max="1" width="3.109375" customWidth="1"/>
    <col min="2" max="2" width="11.88671875" customWidth="1"/>
    <col min="3" max="3" width="18.21875" customWidth="1"/>
    <col min="4" max="4" width="18.109375" customWidth="1"/>
    <col min="6" max="6" width="17.88671875" customWidth="1"/>
  </cols>
  <sheetData>
    <row r="3" spans="1:6" ht="13.2" x14ac:dyDescent="0.25">
      <c r="E3" s="1" t="s">
        <v>0</v>
      </c>
      <c r="F3" s="2"/>
    </row>
    <row r="5" spans="1:6" ht="13.2" x14ac:dyDescent="0.25">
      <c r="A5" s="3" t="s">
        <v>1</v>
      </c>
      <c r="B5" s="4" t="s">
        <v>2</v>
      </c>
      <c r="C5" s="4" t="s">
        <v>3</v>
      </c>
      <c r="D5" s="4" t="s">
        <v>4</v>
      </c>
      <c r="E5" s="4" t="s">
        <v>5</v>
      </c>
      <c r="F5" s="5" t="s">
        <v>6</v>
      </c>
    </row>
    <row r="6" spans="1:6" ht="15.75" customHeight="1" x14ac:dyDescent="0.25">
      <c r="E6" s="23"/>
    </row>
    <row r="7" spans="1:6" ht="15.75" customHeight="1" x14ac:dyDescent="0.25">
      <c r="E7" s="23"/>
    </row>
  </sheetData>
  <pageMargins left="0.7" right="0.7" top="0.75" bottom="0.75" header="0.3" footer="0.3"/>
  <pageSetup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274320</xdr:colOff>
                    <xdr:row>0</xdr:row>
                    <xdr:rowOff>190500</xdr:rowOff>
                  </from>
                  <to>
                    <xdr:col>2</xdr:col>
                    <xdr:colOff>1173480</xdr:colOff>
                    <xdr:row>2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5:E8"/>
  <sheetViews>
    <sheetView showGridLines="0" workbookViewId="0">
      <selection activeCell="D10" sqref="D10"/>
    </sheetView>
  </sheetViews>
  <sheetFormatPr defaultColWidth="12.6640625" defaultRowHeight="15.75" customHeight="1" x14ac:dyDescent="0.25"/>
  <cols>
    <col min="1" max="1" width="3.109375" customWidth="1"/>
    <col min="3" max="3" width="20.6640625" customWidth="1"/>
    <col min="4" max="4" width="15.109375" customWidth="1"/>
    <col min="5" max="5" width="15.6640625" customWidth="1"/>
  </cols>
  <sheetData>
    <row r="5" spans="1:5" ht="13.2" x14ac:dyDescent="0.25">
      <c r="A5" s="3" t="s">
        <v>1</v>
      </c>
      <c r="B5" s="4" t="s">
        <v>7</v>
      </c>
      <c r="C5" s="4" t="s">
        <v>8</v>
      </c>
      <c r="D5" s="4" t="s">
        <v>9</v>
      </c>
      <c r="E5" s="5" t="s">
        <v>10</v>
      </c>
    </row>
    <row r="6" spans="1:5" ht="15.75" customHeight="1" x14ac:dyDescent="0.25">
      <c r="A6">
        <f>ROW()-ROW($A$5)</f>
        <v>1</v>
      </c>
      <c r="B6" t="s">
        <v>20</v>
      </c>
      <c r="C6" s="7" t="s">
        <v>24</v>
      </c>
      <c r="D6" t="s">
        <v>21</v>
      </c>
      <c r="E6">
        <v>800000</v>
      </c>
    </row>
    <row r="7" spans="1:5" ht="15.75" customHeight="1" x14ac:dyDescent="0.25">
      <c r="A7">
        <f t="shared" ref="A7:A8" si="0">ROW()-ROW($A$5)</f>
        <v>2</v>
      </c>
      <c r="B7" t="s">
        <v>22</v>
      </c>
      <c r="C7" s="7" t="s">
        <v>25</v>
      </c>
      <c r="D7" t="s">
        <v>21</v>
      </c>
      <c r="E7">
        <v>800001</v>
      </c>
    </row>
    <row r="8" spans="1:5" ht="15.75" customHeight="1" x14ac:dyDescent="0.25">
      <c r="A8">
        <f t="shared" si="0"/>
        <v>3</v>
      </c>
      <c r="B8" t="s">
        <v>23</v>
      </c>
      <c r="C8" s="7" t="s">
        <v>26</v>
      </c>
      <c r="D8" t="s">
        <v>21</v>
      </c>
      <c r="E8">
        <v>800003</v>
      </c>
    </row>
  </sheetData>
  <phoneticPr fontId="7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09654C-CED1-45D2-A1CA-A4132F309379}">
  <sheetPr codeName="Sheet4"/>
  <dimension ref="A5:G8"/>
  <sheetViews>
    <sheetView workbookViewId="0">
      <selection activeCell="E32" sqref="E32"/>
    </sheetView>
  </sheetViews>
  <sheetFormatPr defaultRowHeight="13.2" x14ac:dyDescent="0.25"/>
  <cols>
    <col min="1" max="1" width="3.21875" bestFit="1" customWidth="1"/>
    <col min="2" max="2" width="11.77734375" customWidth="1"/>
    <col min="3" max="3" width="21.88671875" customWidth="1"/>
    <col min="5" max="5" width="16.88671875" customWidth="1"/>
  </cols>
  <sheetData>
    <row r="5" spans="1:7" x14ac:dyDescent="0.25">
      <c r="A5" s="3" t="s">
        <v>1</v>
      </c>
      <c r="B5" s="4" t="s">
        <v>7</v>
      </c>
      <c r="C5" s="4" t="s">
        <v>8</v>
      </c>
      <c r="D5" s="4" t="s">
        <v>9</v>
      </c>
      <c r="E5" s="5" t="s">
        <v>10</v>
      </c>
      <c r="G5" s="4" t="s">
        <v>8</v>
      </c>
    </row>
    <row r="6" spans="1:7" x14ac:dyDescent="0.25">
      <c r="A6">
        <v>1</v>
      </c>
      <c r="B6" t="s">
        <v>20</v>
      </c>
      <c r="C6" s="7" t="s">
        <v>24</v>
      </c>
      <c r="D6" t="s">
        <v>21</v>
      </c>
      <c r="E6">
        <v>800000</v>
      </c>
      <c r="G6" t="s">
        <v>27</v>
      </c>
    </row>
    <row r="7" spans="1:7" x14ac:dyDescent="0.25">
      <c r="A7">
        <v>2</v>
      </c>
      <c r="B7" t="s">
        <v>22</v>
      </c>
      <c r="C7" s="7" t="s">
        <v>25</v>
      </c>
      <c r="D7" t="s">
        <v>21</v>
      </c>
      <c r="E7">
        <v>800001</v>
      </c>
    </row>
    <row r="8" spans="1:7" x14ac:dyDescent="0.25">
      <c r="A8">
        <v>3</v>
      </c>
      <c r="B8" t="s">
        <v>23</v>
      </c>
      <c r="C8" s="7" t="s">
        <v>26</v>
      </c>
      <c r="D8" t="s">
        <v>21</v>
      </c>
      <c r="E8">
        <v>800003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B1:I34"/>
  <sheetViews>
    <sheetView zoomScale="85" zoomScaleNormal="85" workbookViewId="0">
      <selection activeCell="H16" sqref="H16"/>
    </sheetView>
  </sheetViews>
  <sheetFormatPr defaultColWidth="12.6640625" defaultRowHeight="15.75" customHeight="1" x14ac:dyDescent="0.25"/>
  <cols>
    <col min="1" max="1" width="3.33203125" customWidth="1"/>
    <col min="2" max="2" width="23.5546875" customWidth="1"/>
    <col min="4" max="4" width="14.109375" bestFit="1" customWidth="1"/>
    <col min="5" max="5" width="15.5546875" customWidth="1"/>
    <col min="6" max="6" width="19.5546875" customWidth="1"/>
    <col min="7" max="7" width="4.5546875" customWidth="1"/>
  </cols>
  <sheetData>
    <row r="1" spans="2:9" ht="15.75" customHeight="1" x14ac:dyDescent="0.25">
      <c r="B1" s="11"/>
    </row>
    <row r="2" spans="2:9" ht="15.75" customHeight="1" x14ac:dyDescent="0.25">
      <c r="B2" s="11"/>
      <c r="C2" s="12"/>
      <c r="D2" s="12"/>
      <c r="E2" s="27" t="s">
        <v>12</v>
      </c>
      <c r="F2" s="28"/>
    </row>
    <row r="3" spans="2:9" ht="15.75" customHeight="1" x14ac:dyDescent="0.25">
      <c r="B3" s="11"/>
      <c r="C3" s="13"/>
      <c r="D3" s="13"/>
      <c r="E3" s="28"/>
      <c r="F3" s="28"/>
    </row>
    <row r="4" spans="2:9" ht="15.75" customHeight="1" x14ac:dyDescent="0.25">
      <c r="B4" s="11"/>
    </row>
    <row r="7" spans="2:9" ht="15.75" customHeight="1" thickBot="1" x14ac:dyDescent="0.3">
      <c r="B7" t="s">
        <v>11</v>
      </c>
      <c r="C7" s="9"/>
      <c r="E7" s="26" t="s">
        <v>13</v>
      </c>
      <c r="F7" s="26"/>
    </row>
    <row r="8" spans="2:9" ht="15.75" customHeight="1" thickBot="1" x14ac:dyDescent="0.3">
      <c r="B8" s="19" t="s">
        <v>31</v>
      </c>
      <c r="C8" s="9"/>
      <c r="E8" s="29">
        <v>45540</v>
      </c>
      <c r="F8" s="30"/>
    </row>
    <row r="9" spans="2:9" ht="15.75" customHeight="1" thickBot="1" x14ac:dyDescent="0.3">
      <c r="B9" s="20" t="s">
        <v>32</v>
      </c>
      <c r="C9" s="9"/>
      <c r="E9" s="26" t="s">
        <v>14</v>
      </c>
      <c r="F9" s="26"/>
      <c r="H9" s="22" t="s">
        <v>28</v>
      </c>
      <c r="I9" s="22" t="s">
        <v>29</v>
      </c>
    </row>
    <row r="10" spans="2:9" ht="15.75" customHeight="1" thickBot="1" x14ac:dyDescent="0.3">
      <c r="B10" s="18"/>
      <c r="C10" s="8"/>
      <c r="E10" s="24" t="s">
        <v>30</v>
      </c>
      <c r="F10" s="25"/>
      <c r="H10" s="21">
        <v>16</v>
      </c>
      <c r="I10" s="21">
        <f>LEN(H10)</f>
        <v>2</v>
      </c>
    </row>
    <row r="12" spans="2:9" ht="15.75" customHeight="1" x14ac:dyDescent="0.25">
      <c r="B12" s="10" t="s">
        <v>8</v>
      </c>
      <c r="C12" s="10" t="s">
        <v>9</v>
      </c>
      <c r="D12" s="10" t="s">
        <v>10</v>
      </c>
      <c r="E12" s="10" t="s">
        <v>15</v>
      </c>
      <c r="F12" s="10" t="s">
        <v>16</v>
      </c>
    </row>
    <row r="13" spans="2:9" ht="15.75" customHeight="1" x14ac:dyDescent="0.25">
      <c r="B13" s="14" t="s">
        <v>26</v>
      </c>
      <c r="C13" s="14" t="s">
        <v>21</v>
      </c>
      <c r="D13" s="16">
        <v>800003</v>
      </c>
      <c r="E13" s="14">
        <v>2</v>
      </c>
      <c r="F13" s="16">
        <v>1600006</v>
      </c>
    </row>
    <row r="14" spans="2:9" ht="15.75" customHeight="1" x14ac:dyDescent="0.25">
      <c r="B14" s="14"/>
      <c r="C14" s="14"/>
      <c r="D14" s="16"/>
      <c r="E14" s="14"/>
      <c r="F14" s="16"/>
    </row>
    <row r="15" spans="2:9" ht="15.75" customHeight="1" x14ac:dyDescent="0.25">
      <c r="B15" s="14"/>
      <c r="C15" s="14"/>
      <c r="D15" s="16"/>
      <c r="E15" s="14"/>
      <c r="F15" s="16"/>
    </row>
    <row r="16" spans="2:9" ht="15.75" customHeight="1" x14ac:dyDescent="0.25">
      <c r="B16" s="14"/>
      <c r="C16" s="14"/>
      <c r="D16" s="16"/>
      <c r="E16" s="14"/>
      <c r="F16" s="16"/>
    </row>
    <row r="17" spans="2:6" ht="15.75" customHeight="1" x14ac:dyDescent="0.25">
      <c r="B17" s="14"/>
      <c r="C17" s="14"/>
      <c r="D17" s="16"/>
      <c r="E17" s="14"/>
      <c r="F17" s="16"/>
    </row>
    <row r="18" spans="2:6" ht="15.75" customHeight="1" x14ac:dyDescent="0.25">
      <c r="B18" s="14"/>
      <c r="C18" s="14"/>
      <c r="D18" s="16"/>
      <c r="E18" s="14"/>
      <c r="F18" s="16"/>
    </row>
    <row r="19" spans="2:6" ht="15.75" customHeight="1" x14ac:dyDescent="0.25">
      <c r="B19" s="14"/>
      <c r="C19" s="14"/>
      <c r="D19" s="16"/>
      <c r="E19" s="14"/>
      <c r="F19" s="16"/>
    </row>
    <row r="20" spans="2:6" ht="15.75" customHeight="1" x14ac:dyDescent="0.25">
      <c r="B20" s="14"/>
      <c r="C20" s="14"/>
      <c r="D20" s="16"/>
      <c r="E20" s="14"/>
      <c r="F20" s="16"/>
    </row>
    <row r="21" spans="2:6" ht="15.75" customHeight="1" x14ac:dyDescent="0.25">
      <c r="B21" s="14"/>
      <c r="C21" s="14"/>
      <c r="D21" s="16"/>
      <c r="E21" s="14"/>
      <c r="F21" s="16"/>
    </row>
    <row r="22" spans="2:6" ht="15.75" customHeight="1" x14ac:dyDescent="0.25">
      <c r="B22" s="14"/>
      <c r="C22" s="14"/>
      <c r="D22" s="16"/>
      <c r="E22" s="14"/>
      <c r="F22" s="16"/>
    </row>
    <row r="23" spans="2:6" ht="15.75" customHeight="1" x14ac:dyDescent="0.25">
      <c r="B23" s="14"/>
      <c r="C23" s="14"/>
      <c r="D23" s="16"/>
      <c r="E23" s="14"/>
      <c r="F23" s="16"/>
    </row>
    <row r="24" spans="2:6" ht="15.75" customHeight="1" x14ac:dyDescent="0.25">
      <c r="B24" s="14"/>
      <c r="C24" s="14"/>
      <c r="D24" s="16"/>
      <c r="E24" s="14"/>
      <c r="F24" s="16"/>
    </row>
    <row r="26" spans="2:6" ht="15.75" customHeight="1" x14ac:dyDescent="0.25">
      <c r="E26" s="15" t="s">
        <v>17</v>
      </c>
      <c r="F26" s="17">
        <f>SUM(F13:F24)</f>
        <v>1600006</v>
      </c>
    </row>
    <row r="27" spans="2:6" ht="15.75" customHeight="1" x14ac:dyDescent="0.25">
      <c r="E27" s="15" t="s">
        <v>19</v>
      </c>
      <c r="F27" s="17">
        <f>F26*11%</f>
        <v>176000.66</v>
      </c>
    </row>
    <row r="28" spans="2:6" ht="15.75" customHeight="1" x14ac:dyDescent="0.25">
      <c r="E28" s="15" t="s">
        <v>18</v>
      </c>
      <c r="F28" s="17">
        <f>F26+F27</f>
        <v>1776006.66</v>
      </c>
    </row>
    <row r="34" spans="5:6" ht="15.75" customHeight="1" x14ac:dyDescent="0.25">
      <c r="E34" s="6" t="str">
        <f ca="1">"Makassar, " &amp; TEXT(TODAY(),"dd MMMM yyyy")</f>
        <v>Makassar, 09 May 2024</v>
      </c>
      <c r="F34" s="6"/>
    </row>
  </sheetData>
  <sortState xmlns:xlrd2="http://schemas.microsoft.com/office/spreadsheetml/2017/richdata2" ref="B13:F23">
    <sortCondition ref="B12"/>
  </sortState>
  <mergeCells count="5">
    <mergeCell ref="E10:F10"/>
    <mergeCell ref="E9:F9"/>
    <mergeCell ref="E2:F3"/>
    <mergeCell ref="E8:F8"/>
    <mergeCell ref="E7:F7"/>
  </mergeCells>
  <pageMargins left="0.7" right="0.7" top="0.75" bottom="0.75" header="0.3" footer="0.3"/>
  <pageSetup orientation="portrait" horizontalDpi="4294967293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DATAINVOICE</vt:lpstr>
      <vt:lpstr>DATABARANG</vt:lpstr>
      <vt:lpstr>CARIBARANG</vt:lpstr>
      <vt:lpstr>INVOICE</vt:lpstr>
      <vt:lpstr>CARIBARANG!Criteria</vt:lpstr>
      <vt:lpstr>CARIBARANG!Extract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Rahmatullah R</dc:creator>
  <cp:lastModifiedBy>Rahmatullah R</cp:lastModifiedBy>
  <cp:lastPrinted>2024-05-09T15:19:21Z</cp:lastPrinted>
  <dcterms:created xsi:type="dcterms:W3CDTF">2024-05-09T13:57:20Z</dcterms:created>
  <dcterms:modified xsi:type="dcterms:W3CDTF">2024-05-09T15:30:42Z</dcterms:modified>
</cp:coreProperties>
</file>